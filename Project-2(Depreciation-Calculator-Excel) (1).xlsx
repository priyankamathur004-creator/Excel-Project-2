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havi\Downloads\priyanka certi\Assignments\"/>
    </mc:Choice>
  </mc:AlternateContent>
  <xr:revisionPtr revIDLastSave="0" documentId="13_ncr:1_{58AF57F0-D430-42F7-AFF3-9B6E1EFDC80E}" xr6:coauthVersionLast="47" xr6:coauthVersionMax="47" xr10:uidLastSave="{00000000-0000-0000-0000-000000000000}"/>
  <bookViews>
    <workbookView xWindow="-110" yWindow="-110" windowWidth="25820" windowHeight="15500" activeTab="1" xr2:uid="{00000000-000D-0000-FFFF-FFFF00000000}"/>
  </bookViews>
  <sheets>
    <sheet name="Information" sheetId="2" r:id="rId1"/>
    <sheet name="Detail1" sheetId="4" r:id="rId2"/>
    <sheet name="Sheet1" sheetId="3" r:id="rId3"/>
    <sheet name="Depreciation Calculator" sheetId="1"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 i="1" l="1"/>
  <c r="F20" i="1"/>
  <c r="C26" i="1"/>
  <c r="F14" i="1"/>
  <c r="F13" i="1"/>
  <c r="F12" i="1"/>
  <c r="F11" i="1"/>
  <c r="F8" i="1"/>
  <c r="D11" i="1"/>
  <c r="D23" i="1"/>
  <c r="D12" i="1" l="1"/>
  <c r="D27" i="1" l="1"/>
  <c r="D13" i="1"/>
  <c r="D14" i="1" l="1"/>
  <c r="D15" i="1" s="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<sst xmlns="http://schemas.openxmlformats.org/spreadsheetml/2006/main" count="46" uniqueCount="27">
  <si>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</si>
  <si>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</si>
  <si>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</si>
  <si>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</si>
  <si>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</si>
  <si>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</si>
  <si>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</si>
  <si>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</si>
  <si>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</si>
  <si>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</si>
  <si>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</si>
  <si>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</si>
  <si>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</si>
  <si>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</si>
  <si>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</si>
  <si>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</si>
  <si>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</si>
  <si>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</si>
  <si>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</si>
  <si>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</si>
  <si>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SL - Annual Depreciation</t>
  </si>
  <si>
    <t>SL - Ending Book Value</t>
  </si>
  <si>
    <t>DB - Annual Depreciation</t>
  </si>
  <si>
    <t>DB - Ending Book Value</t>
  </si>
  <si>
    <t>Sum of Year</t>
  </si>
  <si>
    <t>(All)</t>
  </si>
  <si>
    <t>Details for Sum of Year - SL - Annual Depreciation: 45000, DB - Annual Depreciation: 13651.7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</si>
</sst>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4"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theme="0"/>
      <name val="Calibri"/>
      <family val="2"/>
      <scheme val="minor"/>
    </font>
    <font>
      <b/>
      <sz val="11"/>
      <color theme="1"/>
      <name val="Calibri"/>
      <family val="2"/>
      <scheme val="minor"/>
    </font>
    <font>
      <sz val="11"/>
      <color rgb="FF1F1F1F"/>
      <name val="Arial"/>
      <family val="2"/>
    </font>
    <font>
      <b/>
      <sz val="11"/>
      <color rgb="FF1F1F1F"/>
      <name val="Arial"/>
      <family val="2"/>
    </font>
  </fonts>
  <fills count="8">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13">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medium">
        <color rgb="FF000000"/>
      </left>
      <right style="medium">
        <color rgb="FF000000"/>
      </right>
      <top style="medium">
        <color rgb="FF000000"/>
      </top>
      <bottom style="medium">
        <color rgb="FF000000"/>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9">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4" fontId="1" fillId="0" borderId="0" xfId="0" applyNumberFormat="1" applyFont="1" applyAlignment="1">
      <alignment horizontal="center" vertical="center"/>
    </xf>
    <xf numFmtId="0" fontId="13" fillId="0" borderId="6" xfId="0" applyFont="1" applyBorder="1" applyAlignment="1">
      <alignment vertical="center" wrapText="1" readingOrder="1"/>
    </xf>
    <xf numFmtId="0" fontId="12" fillId="0" borderId="6" xfId="0" applyFont="1" applyBorder="1" applyAlignment="1">
      <alignment vertical="center" wrapText="1" readingOrder="1"/>
    </xf>
    <xf numFmtId="4" fontId="12" fillId="0" borderId="6" xfId="0" applyNumberFormat="1" applyFont="1" applyBorder="1" applyAlignment="1">
      <alignment vertical="center" wrapText="1" readingOrder="1"/>
    </xf>
    <xf numFmtId="0" fontId="0" fillId="0" borderId="0" xfId="0" pivotButton="1"/>
    <xf numFmtId="0" fontId="10" fillId="6" borderId="7" xfId="0" applyFont="1" applyFill="1" applyBorder="1"/>
    <xf numFmtId="0" fontId="10" fillId="6" borderId="8" xfId="0" applyFont="1" applyFill="1" applyBorder="1"/>
    <xf numFmtId="0" fontId="0" fillId="7" borderId="9" xfId="0" applyFill="1" applyBorder="1"/>
    <xf numFmtId="0" fontId="0" fillId="7" borderId="10" xfId="0" applyFill="1" applyBorder="1"/>
    <xf numFmtId="0" fontId="0" fillId="5" borderId="9" xfId="0" applyFill="1" applyBorder="1"/>
    <xf numFmtId="0" fontId="0" fillId="5" borderId="10" xfId="0" applyFill="1" applyBorder="1"/>
    <xf numFmtId="0" fontId="11" fillId="0" borderId="0" xfId="0" applyFont="1"/>
    <xf numFmtId="0" fontId="0" fillId="5" borderId="11" xfId="0" applyFill="1" applyBorder="1"/>
    <xf numFmtId="0" fontId="0" fillId="5" borderId="12" xfId="0" applyFill="1" applyBorder="1"/>
    <xf numFmtId="0" fontId="13" fillId="6" borderId="6" xfId="0" applyFont="1" applyFill="1" applyBorder="1" applyAlignment="1">
      <alignment vertical="center" wrapText="1" readingOrder="1"/>
    </xf>
    <xf numFmtId="4" fontId="12" fillId="7" borderId="6" xfId="0" applyNumberFormat="1" applyFont="1" applyFill="1" applyBorder="1" applyAlignment="1">
      <alignment vertical="center" wrapText="1" readingOrder="1"/>
    </xf>
    <xf numFmtId="4" fontId="12" fillId="5" borderId="6" xfId="0" applyNumberFormat="1" applyFont="1" applyFill="1" applyBorder="1" applyAlignment="1">
      <alignment vertical="center" wrapText="1" readingOrder="1"/>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cellXfs>
  <cellStyles count="2">
    <cellStyle name="Hyperlink" xfId="1" builtinId="8"/>
    <cellStyle name="Normal" xfId="0" builtinId="0"/>
  </cellStyles>
  <dxfs count="1">
    <dxf>
      <font>
        <b val="0"/>
        <i val="0"/>
        <strike val="0"/>
        <condense val="0"/>
        <extend val="0"/>
        <outline val="0"/>
        <shadow val="0"/>
        <u val="none"/>
        <vertAlign val="baseline"/>
        <sz val="11"/>
        <color rgb="FF1F1F1F"/>
        <name val="Arial"/>
        <family val="2"/>
        <scheme val="none"/>
      </font>
      <numFmt numFmtId="4" formatCode="#,##0.00"/>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b="0"/>
              <a:t>Annual Depriciation Expense Comparison</a:t>
            </a:r>
          </a:p>
        </c:rich>
      </c:tx>
      <c:layout>
        <c:manualLayout>
          <c:xMode val="edge"/>
          <c:yMode val="edge"/>
          <c:x val="0.1356796075652133"/>
          <c:y val="1.0309278350515464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614274464414829E-2"/>
          <c:y val="0.12509619287279811"/>
          <c:w val="0.87900140111820868"/>
          <c:h val="0.67757670121743252"/>
        </c:manualLayout>
      </c:layout>
      <c:barChart>
        <c:barDir val="col"/>
        <c:grouping val="clustered"/>
        <c:varyColors val="0"/>
        <c:ser>
          <c:idx val="0"/>
          <c:order val="0"/>
          <c:tx>
            <c:strRef>
              <c:f>Detail1!$A$19</c:f>
              <c:strCache>
                <c:ptCount val="1"/>
                <c:pt idx="0">
                  <c:v>Year</c:v>
                </c:pt>
              </c:strCache>
            </c:strRef>
          </c:tx>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Detail1!$A$20:$A$29</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C39F-412B-AA43-696244B8AF7F}"/>
            </c:ext>
          </c:extLst>
        </c:ser>
        <c:ser>
          <c:idx val="1"/>
          <c:order val="1"/>
          <c:tx>
            <c:strRef>
              <c:f>Detail1!$B$19</c:f>
              <c:strCache>
                <c:ptCount val="1"/>
                <c:pt idx="0">
                  <c:v>SL - Annual Depreciation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Detail1!$B$20:$B$29</c:f>
              <c:numCache>
                <c:formatCode>General</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extLst>
            <c:ext xmlns:c16="http://schemas.microsoft.com/office/drawing/2014/chart" uri="{C3380CC4-5D6E-409C-BE32-E72D297353CC}">
              <c16:uniqueId val="{00000001-C39F-412B-AA43-696244B8AF7F}"/>
            </c:ext>
          </c:extLst>
        </c:ser>
        <c:ser>
          <c:idx val="2"/>
          <c:order val="2"/>
          <c:tx>
            <c:strRef>
              <c:f>Detail1!$C$19</c:f>
              <c:strCache>
                <c:ptCount val="1"/>
                <c:pt idx="0">
                  <c:v>DB - Annual Depreciation</c:v>
                </c:pt>
              </c:strCache>
            </c:strRef>
          </c:tx>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Detail1!$C$20:$C$29</c:f>
              <c:numCache>
                <c:formatCode>General</c:formatCode>
                <c:ptCount val="10"/>
                <c:pt idx="0">
                  <c:v>98629.2</c:v>
                </c:pt>
                <c:pt idx="1">
                  <c:v>79173.77</c:v>
                </c:pt>
                <c:pt idx="2">
                  <c:v>63556.1</c:v>
                </c:pt>
                <c:pt idx="3">
                  <c:v>51019.1</c:v>
                </c:pt>
                <c:pt idx="4">
                  <c:v>40955.199999999997</c:v>
                </c:pt>
                <c:pt idx="5">
                  <c:v>32876.400000000001</c:v>
                </c:pt>
                <c:pt idx="6">
                  <c:v>26391.3</c:v>
                </c:pt>
                <c:pt idx="7">
                  <c:v>21185.4</c:v>
                </c:pt>
                <c:pt idx="8">
                  <c:v>17006.400000000001</c:v>
                </c:pt>
                <c:pt idx="9">
                  <c:v>13651.7</c:v>
                </c:pt>
              </c:numCache>
            </c:numRef>
          </c:val>
          <c:extLst>
            <c:ext xmlns:c16="http://schemas.microsoft.com/office/drawing/2014/chart" uri="{C3380CC4-5D6E-409C-BE32-E72D297353CC}">
              <c16:uniqueId val="{00000002-C39F-412B-AA43-696244B8AF7F}"/>
            </c:ext>
          </c:extLst>
        </c:ser>
        <c:dLbls>
          <c:showLegendKey val="0"/>
          <c:showVal val="0"/>
          <c:showCatName val="0"/>
          <c:showSerName val="0"/>
          <c:showPercent val="0"/>
          <c:showBubbleSize val="0"/>
        </c:dLbls>
        <c:gapWidth val="100"/>
        <c:overlap val="-24"/>
        <c:axId val="572805072"/>
        <c:axId val="572806032"/>
      </c:barChart>
      <c:catAx>
        <c:axId val="572805072"/>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06032"/>
        <c:crosses val="autoZero"/>
        <c:auto val="1"/>
        <c:lblAlgn val="ctr"/>
        <c:lblOffset val="100"/>
        <c:noMultiLvlLbl val="0"/>
      </c:catAx>
      <c:valAx>
        <c:axId val="5728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0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Ending Book Value Comparison</a:t>
            </a:r>
          </a:p>
        </c:rich>
      </c:tx>
      <c:layout>
        <c:manualLayout>
          <c:xMode val="edge"/>
          <c:yMode val="edge"/>
          <c:x val="0.27060411198600176"/>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Detail1!$E$19</c:f>
              <c:strCache>
                <c:ptCount val="1"/>
                <c:pt idx="0">
                  <c:v>Year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Detail1!$E$20:$E$29</c:f>
              <c:numCache>
                <c:formatCode>General</c:formatCode>
                <c:ptCount val="10"/>
                <c:pt idx="0">
                  <c:v>1</c:v>
                </c:pt>
                <c:pt idx="1">
                  <c:v>2</c:v>
                </c:pt>
                <c:pt idx="2">
                  <c:v>3</c:v>
                </c:pt>
                <c:pt idx="3">
                  <c:v>4</c:v>
                </c:pt>
                <c:pt idx="4">
                  <c:v>5</c:v>
                </c:pt>
                <c:pt idx="5">
                  <c:v>6</c:v>
                </c:pt>
                <c:pt idx="6">
                  <c:v>7</c:v>
                </c:pt>
                <c:pt idx="7">
                  <c:v>8</c:v>
                </c:pt>
                <c:pt idx="8">
                  <c:v>9</c:v>
                </c:pt>
                <c:pt idx="9">
                  <c:v>10</c:v>
                </c:pt>
              </c:numCache>
            </c:numRef>
          </c:val>
          <c:smooth val="0"/>
          <c:extLst>
            <c:ext xmlns:c16="http://schemas.microsoft.com/office/drawing/2014/chart" uri="{C3380CC4-5D6E-409C-BE32-E72D297353CC}">
              <c16:uniqueId val="{00000000-F317-4CCF-98B4-297ECFD0E8FC}"/>
            </c:ext>
          </c:extLst>
        </c:ser>
        <c:ser>
          <c:idx val="1"/>
          <c:order val="1"/>
          <c:tx>
            <c:strRef>
              <c:f>Detail1!$F$19</c:f>
              <c:strCache>
                <c:ptCount val="1"/>
                <c:pt idx="0">
                  <c:v>DB - Ending Book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Detail1!$F$20:$F$29</c:f>
              <c:numCache>
                <c:formatCode>General</c:formatCode>
                <c:ptCount val="10"/>
                <c:pt idx="0">
                  <c:v>401371</c:v>
                </c:pt>
                <c:pt idx="1">
                  <c:v>322197</c:v>
                </c:pt>
                <c:pt idx="2">
                  <c:v>258641</c:v>
                </c:pt>
                <c:pt idx="3">
                  <c:v>207622</c:v>
                </c:pt>
                <c:pt idx="4">
                  <c:v>166667</c:v>
                </c:pt>
                <c:pt idx="5">
                  <c:v>133790</c:v>
                </c:pt>
                <c:pt idx="6">
                  <c:v>107399</c:v>
                </c:pt>
                <c:pt idx="7">
                  <c:v>86213.6</c:v>
                </c:pt>
                <c:pt idx="8">
                  <c:v>69207.3</c:v>
                </c:pt>
                <c:pt idx="9">
                  <c:v>55555.6</c:v>
                </c:pt>
              </c:numCache>
            </c:numRef>
          </c:val>
          <c:smooth val="0"/>
          <c:extLst>
            <c:ext xmlns:c16="http://schemas.microsoft.com/office/drawing/2014/chart" uri="{C3380CC4-5D6E-409C-BE32-E72D297353CC}">
              <c16:uniqueId val="{00000001-F317-4CCF-98B4-297ECFD0E8FC}"/>
            </c:ext>
          </c:extLst>
        </c:ser>
        <c:ser>
          <c:idx val="2"/>
          <c:order val="2"/>
          <c:tx>
            <c:strRef>
              <c:f>Detail1!$G$19</c:f>
              <c:strCache>
                <c:ptCount val="1"/>
                <c:pt idx="0">
                  <c:v>SL - Ending Book Value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Detail1!$G$20:$G$29</c:f>
              <c:numCache>
                <c:formatCode>#,##0.00</c:formatCode>
                <c:ptCount val="10"/>
                <c:pt idx="0">
                  <c:v>455000</c:v>
                </c:pt>
                <c:pt idx="1">
                  <c:v>410000</c:v>
                </c:pt>
                <c:pt idx="2">
                  <c:v>365000</c:v>
                </c:pt>
                <c:pt idx="3">
                  <c:v>320000</c:v>
                </c:pt>
                <c:pt idx="4">
                  <c:v>275000</c:v>
                </c:pt>
                <c:pt idx="5">
                  <c:v>230000</c:v>
                </c:pt>
                <c:pt idx="6">
                  <c:v>185000</c:v>
                </c:pt>
                <c:pt idx="7">
                  <c:v>140000</c:v>
                </c:pt>
                <c:pt idx="8">
                  <c:v>95000</c:v>
                </c:pt>
                <c:pt idx="9">
                  <c:v>50000</c:v>
                </c:pt>
              </c:numCache>
            </c:numRef>
          </c:val>
          <c:smooth val="0"/>
          <c:extLst>
            <c:ext xmlns:c16="http://schemas.microsoft.com/office/drawing/2014/chart" uri="{C3380CC4-5D6E-409C-BE32-E72D297353CC}">
              <c16:uniqueId val="{00000002-F317-4CCF-98B4-297ECFD0E8FC}"/>
            </c:ext>
          </c:extLst>
        </c:ser>
        <c:dLbls>
          <c:showLegendKey val="0"/>
          <c:showVal val="0"/>
          <c:showCatName val="0"/>
          <c:showSerName val="0"/>
          <c:showPercent val="0"/>
          <c:showBubbleSize val="0"/>
        </c:dLbls>
        <c:marker val="1"/>
        <c:smooth val="0"/>
        <c:axId val="572816592"/>
        <c:axId val="572817072"/>
      </c:lineChart>
      <c:catAx>
        <c:axId val="572816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17072"/>
        <c:crosses val="autoZero"/>
        <c:auto val="1"/>
        <c:lblAlgn val="ctr"/>
        <c:lblOffset val="100"/>
        <c:noMultiLvlLbl val="0"/>
      </c:catAx>
      <c:valAx>
        <c:axId val="5728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16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111124</xdr:colOff>
      <xdr:row>16</xdr:row>
      <xdr:rowOff>133350</xdr:rowOff>
    </xdr:from>
    <xdr:to>
      <xdr:col>17</xdr:col>
      <xdr:colOff>209550</xdr:colOff>
      <xdr:row>30</xdr:row>
      <xdr:rowOff>6350</xdr:rowOff>
    </xdr:to>
    <xdr:graphicFrame macro="">
      <xdr:nvGraphicFramePr>
        <xdr:cNvPr id="2" name="Chart 1">
          <a:extLst>
            <a:ext uri="{FF2B5EF4-FFF2-40B4-BE49-F238E27FC236}">
              <a16:creationId xmlns:a16="http://schemas.microsoft.com/office/drawing/2014/main" id="{FDDABAE4-50CD-C426-0354-C967C9108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2174875</xdr:colOff>
      <xdr:row>1</xdr:row>
      <xdr:rowOff>88900</xdr:rowOff>
    </xdr:from>
    <xdr:to>
      <xdr:col>12</xdr:col>
      <xdr:colOff>130175</xdr:colOff>
      <xdr:row>13</xdr:row>
      <xdr:rowOff>19050</xdr:rowOff>
    </xdr:to>
    <xdr:graphicFrame macro="">
      <xdr:nvGraphicFramePr>
        <xdr:cNvPr id="3" name="Chart 2">
          <a:extLst>
            <a:ext uri="{FF2B5EF4-FFF2-40B4-BE49-F238E27FC236}">
              <a16:creationId xmlns:a16="http://schemas.microsoft.com/office/drawing/2014/main" id="{2641EFD8-99B2-A898-72AE-5001DE4C4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vin mathur" refreshedDate="46002.700016435185" createdVersion="8" refreshedVersion="8" minRefreshableVersion="3" recordCount="10" xr:uid="{6575EF0F-527D-40EE-B826-8FFADC915C51}">
  <cacheSource type="worksheet">
    <worksheetSource ref="I2:M12" sheet="Depreciation Calculator"/>
  </cacheSource>
  <cacheFields count="5">
    <cacheField name="Year" numFmtId="0">
      <sharedItems containsSemiMixedTypes="0" containsString="0" containsNumber="1" containsInteger="1" minValue="1" maxValue="10" count="10">
        <n v="1"/>
        <n v="2"/>
        <n v="3"/>
        <n v="4"/>
        <n v="5"/>
        <n v="6"/>
        <n v="7"/>
        <n v="8"/>
        <n v="9"/>
        <n v="10"/>
      </sharedItems>
    </cacheField>
    <cacheField name="SL - Annual Depreciation" numFmtId="4">
      <sharedItems containsSemiMixedTypes="0" containsString="0" containsNumber="1" containsInteger="1" minValue="45000" maxValue="45000" count="1">
        <n v="45000"/>
      </sharedItems>
    </cacheField>
    <cacheField name="SL - Ending Book Value" numFmtId="4">
      <sharedItems containsSemiMixedTypes="0" containsString="0" containsNumber="1" containsInteger="1" minValue="50000" maxValue="455000"/>
    </cacheField>
    <cacheField name="DB - Annual Depreciation" numFmtId="4">
      <sharedItems containsSemiMixedTypes="0" containsString="0" containsNumber="1" minValue="13651.7" maxValue="98629.2" count="10">
        <n v="98629.2"/>
        <n v="79173.77"/>
        <n v="63556.1"/>
        <n v="51019.1"/>
        <n v="40955.199999999997"/>
        <n v="32876.400000000001"/>
        <n v="26391.3"/>
        <n v="21185.4"/>
        <n v="17006.400000000001"/>
        <n v="13651.7"/>
      </sharedItems>
    </cacheField>
    <cacheField name="DB - Ending Book Value" numFmtId="4">
      <sharedItems containsSemiMixedTypes="0" containsString="0" containsNumber="1" minValue="55555.6" maxValue="4013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455000"/>
    <x v="0"/>
    <n v="401371"/>
  </r>
  <r>
    <x v="1"/>
    <x v="0"/>
    <n v="410000"/>
    <x v="1"/>
    <n v="322197"/>
  </r>
  <r>
    <x v="2"/>
    <x v="0"/>
    <n v="365000"/>
    <x v="2"/>
    <n v="258641"/>
  </r>
  <r>
    <x v="3"/>
    <x v="0"/>
    <n v="320000"/>
    <x v="3"/>
    <n v="207622"/>
  </r>
  <r>
    <x v="4"/>
    <x v="0"/>
    <n v="275000"/>
    <x v="4"/>
    <n v="166667"/>
  </r>
  <r>
    <x v="5"/>
    <x v="0"/>
    <n v="230000"/>
    <x v="5"/>
    <n v="133790"/>
  </r>
  <r>
    <x v="6"/>
    <x v="0"/>
    <n v="185000"/>
    <x v="6"/>
    <n v="107399"/>
  </r>
  <r>
    <x v="7"/>
    <x v="0"/>
    <n v="140000"/>
    <x v="7"/>
    <n v="86213.6"/>
  </r>
  <r>
    <x v="8"/>
    <x v="0"/>
    <n v="95000"/>
    <x v="8"/>
    <n v="69207.3"/>
  </r>
  <r>
    <x v="9"/>
    <x v="0"/>
    <n v="50000"/>
    <x v="9"/>
    <n v="555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7284D-3C6C-4418-9910-C3A0ED40D7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4:A5" firstHeaderRow="1" firstDataRow="1" firstDataCol="0" rowPageCount="2" colPageCount="1"/>
  <pivotFields count="5">
    <pivotField dataField="1" showAll="0">
      <items count="11">
        <item x="0"/>
        <item x="1"/>
        <item x="2"/>
        <item x="3"/>
        <item x="4"/>
        <item x="5"/>
        <item x="6"/>
        <item x="7"/>
        <item x="8"/>
        <item x="9"/>
        <item t="default"/>
      </items>
    </pivotField>
    <pivotField axis="axisPage" numFmtId="4" showAll="0">
      <items count="2">
        <item x="0"/>
        <item t="default"/>
      </items>
    </pivotField>
    <pivotField numFmtId="4" showAll="0"/>
    <pivotField axis="axisPage" numFmtId="4" showAll="0">
      <items count="11">
        <item x="9"/>
        <item x="8"/>
        <item x="7"/>
        <item x="6"/>
        <item x="5"/>
        <item x="4"/>
        <item x="3"/>
        <item x="2"/>
        <item x="1"/>
        <item x="0"/>
        <item t="default"/>
      </items>
    </pivotField>
    <pivotField numFmtId="4" showAll="0"/>
  </pivotFields>
  <rowItems count="1">
    <i/>
  </rowItems>
  <colItems count="1">
    <i/>
  </colItems>
  <pageFields count="2">
    <pageField fld="1" hier="-1"/>
    <pageField fld="3" hier="-1"/>
  </pageFields>
  <dataFields count="1">
    <dataField name="Sum of Yea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A5AA09-F2F3-472F-924B-783CB3576C77}" name="Table1" displayName="Table1" ref="A3:E13" totalsRowShown="0">
  <autoFilter ref="A3:E13" xr:uid="{05A5AA09-F2F3-472F-924B-783CB3576C77}"/>
  <tableColumns count="5">
    <tableColumn id="1" xr3:uid="{3E5664C7-8923-46E0-9F63-B27B7A534D83}" name="Year"/>
    <tableColumn id="2" xr3:uid="{0D753EC7-CD43-4723-BFA8-927DEA372E06}" name="SL - Annual Depreciation"/>
    <tableColumn id="4" xr3:uid="{C2C8725C-A77C-400C-B325-B9A551EB453D}" name="DB - Annual Depreciation"/>
    <tableColumn id="5" xr3:uid="{94B20A88-EAAC-4C5E-8414-C66ABEB78A49}" name="DB - Ending Book Value"/>
    <tableColumn id="6" xr3:uid="{B1F9068F-6E00-43F7-87BD-44F3AE8D6B67}" name="SL - Ending Book Valu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1" workbookViewId="0">
      <selection activeCell="AB19" sqref="AB19"/>
    </sheetView>
  </sheetViews>
  <sheetFormatPr defaultRowHeight="14.5" x14ac:dyDescent="0.35"/>
  <cols>
    <col min="1" max="1" width="9.1796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6322-F714-4B62-963B-227DC1C6CD13}">
  <dimension ref="A1:G29"/>
  <sheetViews>
    <sheetView tabSelected="1" topLeftCell="C2" workbookViewId="0">
      <selection activeCell="O9" sqref="O9"/>
    </sheetView>
  </sheetViews>
  <sheetFormatPr defaultRowHeight="14.5" x14ac:dyDescent="0.35"/>
  <cols>
    <col min="1" max="1" width="8.81640625" bestFit="1" customWidth="1"/>
    <col min="2" max="2" width="23.7265625" bestFit="1" customWidth="1"/>
    <col min="3" max="3" width="24.36328125" bestFit="1" customWidth="1"/>
    <col min="4" max="4" width="22.7265625" bestFit="1" customWidth="1"/>
    <col min="5" max="5" width="16.36328125" customWidth="1"/>
    <col min="6" max="6" width="33.90625" customWidth="1"/>
    <col min="7" max="7" width="17.1796875" customWidth="1"/>
  </cols>
  <sheetData>
    <row r="1" spans="1:5" x14ac:dyDescent="0.35">
      <c r="A1" s="23" t="s">
        <v>26</v>
      </c>
    </row>
    <row r="2" spans="1:5" ht="15" thickBot="1" x14ac:dyDescent="0.4"/>
    <row r="3" spans="1:5" ht="56.5" thickBot="1" x14ac:dyDescent="0.4">
      <c r="A3" t="s">
        <v>7</v>
      </c>
      <c r="B3" t="s">
        <v>20</v>
      </c>
      <c r="C3" t="s">
        <v>22</v>
      </c>
      <c r="D3" t="s">
        <v>23</v>
      </c>
      <c r="E3" s="13" t="s">
        <v>21</v>
      </c>
    </row>
    <row r="4" spans="1:5" ht="15" thickBot="1" x14ac:dyDescent="0.4">
      <c r="A4">
        <v>1</v>
      </c>
      <c r="B4">
        <v>45000</v>
      </c>
      <c r="C4">
        <v>98629.2</v>
      </c>
      <c r="D4">
        <v>401371</v>
      </c>
      <c r="E4" s="15">
        <v>455000</v>
      </c>
    </row>
    <row r="5" spans="1:5" ht="15" thickBot="1" x14ac:dyDescent="0.4">
      <c r="A5">
        <v>2</v>
      </c>
      <c r="B5">
        <v>45000</v>
      </c>
      <c r="C5">
        <v>79173.77</v>
      </c>
      <c r="D5">
        <v>322197</v>
      </c>
      <c r="E5" s="15">
        <v>410000</v>
      </c>
    </row>
    <row r="6" spans="1:5" ht="15" thickBot="1" x14ac:dyDescent="0.4">
      <c r="A6">
        <v>3</v>
      </c>
      <c r="B6">
        <v>45000</v>
      </c>
      <c r="C6">
        <v>63556.1</v>
      </c>
      <c r="D6">
        <v>258641</v>
      </c>
      <c r="E6" s="15">
        <v>365000</v>
      </c>
    </row>
    <row r="7" spans="1:5" ht="15" thickBot="1" x14ac:dyDescent="0.4">
      <c r="A7">
        <v>4</v>
      </c>
      <c r="B7">
        <v>45000</v>
      </c>
      <c r="C7">
        <v>51019.1</v>
      </c>
      <c r="D7">
        <v>207622</v>
      </c>
      <c r="E7" s="15">
        <v>320000</v>
      </c>
    </row>
    <row r="8" spans="1:5" ht="15" thickBot="1" x14ac:dyDescent="0.4">
      <c r="A8">
        <v>5</v>
      </c>
      <c r="B8">
        <v>45000</v>
      </c>
      <c r="C8">
        <v>40955.199999999997</v>
      </c>
      <c r="D8">
        <v>166667</v>
      </c>
      <c r="E8" s="15">
        <v>275000</v>
      </c>
    </row>
    <row r="9" spans="1:5" ht="15" thickBot="1" x14ac:dyDescent="0.4">
      <c r="A9">
        <v>6</v>
      </c>
      <c r="B9">
        <v>45000</v>
      </c>
      <c r="C9">
        <v>32876.400000000001</v>
      </c>
      <c r="D9">
        <v>133790</v>
      </c>
      <c r="E9" s="15">
        <v>230000</v>
      </c>
    </row>
    <row r="10" spans="1:5" ht="15" thickBot="1" x14ac:dyDescent="0.4">
      <c r="A10">
        <v>7</v>
      </c>
      <c r="B10">
        <v>45000</v>
      </c>
      <c r="C10">
        <v>26391.3</v>
      </c>
      <c r="D10">
        <v>107399</v>
      </c>
      <c r="E10" s="15">
        <v>185000</v>
      </c>
    </row>
    <row r="11" spans="1:5" ht="15" thickBot="1" x14ac:dyDescent="0.4">
      <c r="A11">
        <v>8</v>
      </c>
      <c r="B11">
        <v>45000</v>
      </c>
      <c r="C11">
        <v>21185.4</v>
      </c>
      <c r="D11">
        <v>86213.6</v>
      </c>
      <c r="E11" s="15">
        <v>140000</v>
      </c>
    </row>
    <row r="12" spans="1:5" ht="15" thickBot="1" x14ac:dyDescent="0.4">
      <c r="A12">
        <v>9</v>
      </c>
      <c r="B12">
        <v>45000</v>
      </c>
      <c r="C12">
        <v>17006.400000000001</v>
      </c>
      <c r="D12">
        <v>69207.3</v>
      </c>
      <c r="E12" s="15">
        <v>95000</v>
      </c>
    </row>
    <row r="13" spans="1:5" ht="15" thickBot="1" x14ac:dyDescent="0.4">
      <c r="A13">
        <v>10</v>
      </c>
      <c r="B13">
        <v>45000</v>
      </c>
      <c r="C13">
        <v>13651.7</v>
      </c>
      <c r="D13">
        <v>55555.6</v>
      </c>
      <c r="E13" s="15">
        <v>50000</v>
      </c>
    </row>
    <row r="18" spans="1:7" ht="15" thickBot="1" x14ac:dyDescent="0.4"/>
    <row r="19" spans="1:7" ht="56.5" thickBot="1" x14ac:dyDescent="0.4">
      <c r="A19" s="17" t="s">
        <v>7</v>
      </c>
      <c r="B19" s="18" t="s">
        <v>20</v>
      </c>
      <c r="C19" s="18" t="s">
        <v>22</v>
      </c>
      <c r="E19" s="17" t="s">
        <v>7</v>
      </c>
      <c r="F19" s="18" t="s">
        <v>23</v>
      </c>
      <c r="G19" s="26" t="s">
        <v>21</v>
      </c>
    </row>
    <row r="20" spans="1:7" ht="15.5" thickTop="1" thickBot="1" x14ac:dyDescent="0.4">
      <c r="A20" s="19">
        <v>1</v>
      </c>
      <c r="B20" s="20">
        <v>45000</v>
      </c>
      <c r="C20" s="20">
        <v>98629.2</v>
      </c>
      <c r="E20" s="19">
        <v>1</v>
      </c>
      <c r="F20" s="20">
        <v>401371</v>
      </c>
      <c r="G20" s="27">
        <v>455000</v>
      </c>
    </row>
    <row r="21" spans="1:7" ht="15" thickBot="1" x14ac:dyDescent="0.4">
      <c r="A21" s="21">
        <v>2</v>
      </c>
      <c r="B21" s="22">
        <v>45000</v>
      </c>
      <c r="C21" s="22">
        <v>79173.77</v>
      </c>
      <c r="E21" s="21">
        <v>2</v>
      </c>
      <c r="F21" s="22">
        <v>322197</v>
      </c>
      <c r="G21" s="28">
        <v>410000</v>
      </c>
    </row>
    <row r="22" spans="1:7" ht="15" thickBot="1" x14ac:dyDescent="0.4">
      <c r="A22" s="19">
        <v>3</v>
      </c>
      <c r="B22" s="20">
        <v>45000</v>
      </c>
      <c r="C22" s="20">
        <v>63556.1</v>
      </c>
      <c r="E22" s="19">
        <v>3</v>
      </c>
      <c r="F22" s="20">
        <v>258641</v>
      </c>
      <c r="G22" s="27">
        <v>365000</v>
      </c>
    </row>
    <row r="23" spans="1:7" ht="15" thickBot="1" x14ac:dyDescent="0.4">
      <c r="A23" s="21">
        <v>4</v>
      </c>
      <c r="B23" s="22">
        <v>45000</v>
      </c>
      <c r="C23" s="22">
        <v>51019.1</v>
      </c>
      <c r="E23" s="21">
        <v>4</v>
      </c>
      <c r="F23" s="22">
        <v>207622</v>
      </c>
      <c r="G23" s="28">
        <v>320000</v>
      </c>
    </row>
    <row r="24" spans="1:7" ht="15" thickBot="1" x14ac:dyDescent="0.4">
      <c r="A24" s="19">
        <v>5</v>
      </c>
      <c r="B24" s="20">
        <v>45000</v>
      </c>
      <c r="C24" s="20">
        <v>40955.199999999997</v>
      </c>
      <c r="E24" s="19">
        <v>5</v>
      </c>
      <c r="F24" s="20">
        <v>166667</v>
      </c>
      <c r="G24" s="27">
        <v>275000</v>
      </c>
    </row>
    <row r="25" spans="1:7" ht="15" thickBot="1" x14ac:dyDescent="0.4">
      <c r="A25" s="21">
        <v>6</v>
      </c>
      <c r="B25" s="22">
        <v>45000</v>
      </c>
      <c r="C25" s="22">
        <v>32876.400000000001</v>
      </c>
      <c r="E25" s="21">
        <v>6</v>
      </c>
      <c r="F25" s="22">
        <v>133790</v>
      </c>
      <c r="G25" s="28">
        <v>230000</v>
      </c>
    </row>
    <row r="26" spans="1:7" ht="15" thickBot="1" x14ac:dyDescent="0.4">
      <c r="A26" s="19">
        <v>7</v>
      </c>
      <c r="B26" s="20">
        <v>45000</v>
      </c>
      <c r="C26" s="20">
        <v>26391.3</v>
      </c>
      <c r="E26" s="19">
        <v>7</v>
      </c>
      <c r="F26" s="20">
        <v>107399</v>
      </c>
      <c r="G26" s="27">
        <v>185000</v>
      </c>
    </row>
    <row r="27" spans="1:7" ht="15" thickBot="1" x14ac:dyDescent="0.4">
      <c r="A27" s="21">
        <v>8</v>
      </c>
      <c r="B27" s="22">
        <v>45000</v>
      </c>
      <c r="C27" s="22">
        <v>21185.4</v>
      </c>
      <c r="E27" s="21">
        <v>8</v>
      </c>
      <c r="F27" s="22">
        <v>86213.6</v>
      </c>
      <c r="G27" s="28">
        <v>140000</v>
      </c>
    </row>
    <row r="28" spans="1:7" ht="15" thickBot="1" x14ac:dyDescent="0.4">
      <c r="A28" s="19">
        <v>9</v>
      </c>
      <c r="B28" s="20">
        <v>45000</v>
      </c>
      <c r="C28" s="20">
        <v>17006.400000000001</v>
      </c>
      <c r="E28" s="19">
        <v>9</v>
      </c>
      <c r="F28" s="20">
        <v>69207.3</v>
      </c>
      <c r="G28" s="27">
        <v>95000</v>
      </c>
    </row>
    <row r="29" spans="1:7" ht="15" thickBot="1" x14ac:dyDescent="0.4">
      <c r="A29" s="24">
        <v>10</v>
      </c>
      <c r="B29" s="25">
        <v>45000</v>
      </c>
      <c r="C29" s="25">
        <v>13651.7</v>
      </c>
      <c r="E29" s="24">
        <v>10</v>
      </c>
      <c r="F29" s="25">
        <v>55555.6</v>
      </c>
      <c r="G29" s="28">
        <v>50000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FFC9-A42F-4ED0-9F27-09F6D39591A4}">
  <dimension ref="A1:B5"/>
  <sheetViews>
    <sheetView workbookViewId="0">
      <selection activeCell="A5" sqref="A5"/>
    </sheetView>
  </sheetViews>
  <sheetFormatPr defaultRowHeight="14.5" x14ac:dyDescent="0.35"/>
  <cols>
    <col min="1" max="1" width="22" bestFit="1" customWidth="1"/>
    <col min="2" max="2" width="6.453125" bestFit="1" customWidth="1"/>
    <col min="3" max="10" width="21.36328125" bestFit="1" customWidth="1"/>
    <col min="11" max="12" width="10.7265625" bestFit="1" customWidth="1"/>
  </cols>
  <sheetData>
    <row r="1" spans="1:2" x14ac:dyDescent="0.35">
      <c r="A1" s="16" t="s">
        <v>20</v>
      </c>
      <c r="B1" t="s">
        <v>25</v>
      </c>
    </row>
    <row r="2" spans="1:2" x14ac:dyDescent="0.35">
      <c r="A2" s="16" t="s">
        <v>22</v>
      </c>
      <c r="B2" t="s">
        <v>25</v>
      </c>
    </row>
    <row r="4" spans="1:2" x14ac:dyDescent="0.35">
      <c r="A4" t="s">
        <v>24</v>
      </c>
    </row>
    <row r="5" spans="1:2" x14ac:dyDescent="0.35">
      <c r="A5">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topLeftCell="B43" workbookViewId="0">
      <selection activeCell="K2" sqref="K2:K12"/>
    </sheetView>
  </sheetViews>
  <sheetFormatPr defaultColWidth="8.7265625" defaultRowHeight="18" x14ac:dyDescent="0.35"/>
  <cols>
    <col min="1" max="1" width="3.1796875" style="1" customWidth="1"/>
    <col min="2" max="2" width="12.54296875" style="1" customWidth="1"/>
    <col min="3" max="3" width="79.81640625" style="1" customWidth="1"/>
    <col min="4" max="4" width="19.1796875" style="1" bestFit="1" customWidth="1"/>
    <col min="5" max="5" width="3.26953125" style="1" customWidth="1"/>
    <col min="6" max="6" width="16.26953125" style="1" bestFit="1" customWidth="1"/>
    <col min="7" max="7" width="9" style="1" bestFit="1" customWidth="1"/>
    <col min="8" max="9" width="8.7265625" style="1"/>
    <col min="10" max="10" width="13" style="1" customWidth="1"/>
    <col min="11" max="11" width="14.453125" style="1" customWidth="1"/>
    <col min="12" max="12" width="17.7265625" style="1" customWidth="1"/>
    <col min="13" max="13" width="16.7265625" style="1" customWidth="1"/>
    <col min="14" max="16384" width="8.7265625" style="1"/>
  </cols>
  <sheetData>
    <row r="1" spans="1:13" ht="10" customHeight="1" thickBot="1" x14ac:dyDescent="0.4">
      <c r="A1" s="9"/>
      <c r="B1" s="9"/>
      <c r="C1" s="9"/>
      <c r="D1" s="9"/>
      <c r="E1" s="9"/>
    </row>
    <row r="2" spans="1:13" ht="36.5" thickTop="1" thickBot="1" x14ac:dyDescent="0.4">
      <c r="A2" s="9"/>
      <c r="B2" s="34"/>
      <c r="C2" s="32" t="s">
        <v>19</v>
      </c>
      <c r="D2" s="32"/>
      <c r="E2" s="9"/>
      <c r="I2" s="13" t="s">
        <v>7</v>
      </c>
      <c r="J2" s="13" t="s">
        <v>20</v>
      </c>
      <c r="K2" s="13" t="s">
        <v>21</v>
      </c>
      <c r="L2" s="13" t="s">
        <v>22</v>
      </c>
      <c r="M2" s="13" t="s">
        <v>23</v>
      </c>
    </row>
    <row r="3" spans="1:13" ht="26" thickTop="1" thickBot="1" x14ac:dyDescent="0.4">
      <c r="A3" s="9"/>
      <c r="B3" s="35"/>
      <c r="C3" s="33" t="s">
        <v>8</v>
      </c>
      <c r="D3" s="33"/>
      <c r="E3" s="9"/>
      <c r="I3" s="14">
        <v>1</v>
      </c>
      <c r="J3" s="15">
        <v>45000</v>
      </c>
      <c r="K3" s="15">
        <v>455000</v>
      </c>
      <c r="L3" s="15">
        <v>98629.2</v>
      </c>
      <c r="M3" s="15">
        <v>401371</v>
      </c>
    </row>
    <row r="4" spans="1:13" ht="19" thickTop="1" thickBot="1" x14ac:dyDescent="0.4">
      <c r="A4" s="9"/>
      <c r="B4" s="5"/>
      <c r="C4" s="5"/>
      <c r="D4" s="5"/>
      <c r="E4" s="9"/>
      <c r="I4" s="14">
        <v>2</v>
      </c>
      <c r="J4" s="15">
        <v>45000</v>
      </c>
      <c r="K4" s="15">
        <v>410000</v>
      </c>
      <c r="L4" s="15">
        <v>79173.77</v>
      </c>
      <c r="M4" s="15">
        <v>322197</v>
      </c>
    </row>
    <row r="5" spans="1:13" ht="26" thickTop="1" thickBot="1" x14ac:dyDescent="0.4">
      <c r="A5" s="9"/>
      <c r="B5" s="38" t="s">
        <v>17</v>
      </c>
      <c r="C5" s="38"/>
      <c r="D5" s="38"/>
      <c r="E5" s="9"/>
      <c r="I5" s="14">
        <v>3</v>
      </c>
      <c r="J5" s="15">
        <v>45000</v>
      </c>
      <c r="K5" s="15">
        <v>365000</v>
      </c>
      <c r="L5" s="15">
        <v>63556.1</v>
      </c>
      <c r="M5" s="15">
        <v>258641</v>
      </c>
    </row>
    <row r="6" spans="1:13" ht="19" thickTop="1" thickBot="1" x14ac:dyDescent="0.4">
      <c r="A6" s="9"/>
      <c r="B6" s="36" t="s">
        <v>11</v>
      </c>
      <c r="C6" s="37"/>
      <c r="D6" s="10">
        <v>450000</v>
      </c>
      <c r="E6" s="9"/>
      <c r="I6" s="14">
        <v>4</v>
      </c>
      <c r="J6" s="15">
        <v>45000</v>
      </c>
      <c r="K6" s="15">
        <v>320000</v>
      </c>
      <c r="L6" s="15">
        <v>51019.1</v>
      </c>
      <c r="M6" s="15">
        <v>207622</v>
      </c>
    </row>
    <row r="7" spans="1:13" ht="19" thickTop="1" thickBot="1" x14ac:dyDescent="0.4">
      <c r="A7" s="9"/>
      <c r="B7" s="36" t="s">
        <v>13</v>
      </c>
      <c r="C7" s="37"/>
      <c r="D7" s="10">
        <v>50000</v>
      </c>
      <c r="E7" s="9"/>
      <c r="I7" s="14">
        <v>5</v>
      </c>
      <c r="J7" s="15">
        <v>45000</v>
      </c>
      <c r="K7" s="15">
        <v>275000</v>
      </c>
      <c r="L7" s="15">
        <v>40955.199999999997</v>
      </c>
      <c r="M7" s="15">
        <v>166667</v>
      </c>
    </row>
    <row r="8" spans="1:13" ht="19" thickTop="1" thickBot="1" x14ac:dyDescent="0.4">
      <c r="A8" s="9"/>
      <c r="B8" s="36" t="s">
        <v>0</v>
      </c>
      <c r="C8" s="37"/>
      <c r="D8" s="4"/>
      <c r="E8" s="9"/>
      <c r="F8" s="12">
        <f>D6+D7</f>
        <v>500000</v>
      </c>
      <c r="I8" s="14">
        <v>6</v>
      </c>
      <c r="J8" s="15">
        <v>45000</v>
      </c>
      <c r="K8" s="15">
        <v>230000</v>
      </c>
      <c r="L8" s="15">
        <v>32876.400000000001</v>
      </c>
      <c r="M8" s="15">
        <v>133790</v>
      </c>
    </row>
    <row r="9" spans="1:13" ht="19" thickTop="1" thickBot="1" x14ac:dyDescent="0.4">
      <c r="A9" s="9"/>
      <c r="B9" s="36" t="s">
        <v>1</v>
      </c>
      <c r="C9" s="37"/>
      <c r="D9" s="10">
        <v>50000</v>
      </c>
      <c r="E9" s="9"/>
      <c r="I9" s="14">
        <v>7</v>
      </c>
      <c r="J9" s="15">
        <v>45000</v>
      </c>
      <c r="K9" s="15">
        <v>185000</v>
      </c>
      <c r="L9" s="15">
        <v>26391.3</v>
      </c>
      <c r="M9" s="15">
        <v>107399</v>
      </c>
    </row>
    <row r="10" spans="1:13" ht="19" thickTop="1" thickBot="1" x14ac:dyDescent="0.4">
      <c r="A10" s="9"/>
      <c r="B10" s="36" t="s">
        <v>2</v>
      </c>
      <c r="C10" s="37"/>
      <c r="D10" s="11">
        <v>10</v>
      </c>
      <c r="E10" s="9"/>
      <c r="I10" s="14">
        <v>8</v>
      </c>
      <c r="J10" s="15">
        <v>45000</v>
      </c>
      <c r="K10" s="15">
        <v>140000</v>
      </c>
      <c r="L10" s="15">
        <v>21185.4</v>
      </c>
      <c r="M10" s="15">
        <v>86213.6</v>
      </c>
    </row>
    <row r="11" spans="1:13" ht="19" thickTop="1" thickBot="1" x14ac:dyDescent="0.4">
      <c r="A11" s="9"/>
      <c r="B11" s="31" t="s">
        <v>9</v>
      </c>
      <c r="C11" s="31"/>
      <c r="D11" s="4" t="str">
        <f>IF(D8="", "", SLN($D$8,$D$9,$D$10))</f>
        <v/>
      </c>
      <c r="E11" s="9"/>
      <c r="F11" s="12">
        <f>F8-D9/D10</f>
        <v>495000</v>
      </c>
      <c r="I11" s="14">
        <v>9</v>
      </c>
      <c r="J11" s="15">
        <v>45000</v>
      </c>
      <c r="K11" s="15">
        <v>95000</v>
      </c>
      <c r="L11" s="15">
        <v>17006.400000000001</v>
      </c>
      <c r="M11" s="15">
        <v>69207.3</v>
      </c>
    </row>
    <row r="12" spans="1:13" ht="19" thickTop="1" thickBot="1" x14ac:dyDescent="0.4">
      <c r="A12" s="9"/>
      <c r="B12" s="31" t="s">
        <v>12</v>
      </c>
      <c r="C12" s="31"/>
      <c r="D12" s="6" t="str">
        <f>IFERROR(D11/D8,"")</f>
        <v/>
      </c>
      <c r="E12" s="9"/>
      <c r="F12" s="12">
        <f>F11-F8</f>
        <v>-5000</v>
      </c>
      <c r="I12" s="14">
        <v>10</v>
      </c>
      <c r="J12" s="15">
        <v>45000</v>
      </c>
      <c r="K12" s="15">
        <v>50000</v>
      </c>
      <c r="L12" s="15">
        <v>13651.7</v>
      </c>
      <c r="M12" s="15">
        <v>55555.6</v>
      </c>
    </row>
    <row r="13" spans="1:13" ht="19" thickTop="1" thickBot="1" x14ac:dyDescent="0.4">
      <c r="A13" s="9"/>
      <c r="B13" s="36" t="s">
        <v>5</v>
      </c>
      <c r="C13" s="37"/>
      <c r="D13" s="3" t="str">
        <f>IF(D8="", "", D11*D10)</f>
        <v/>
      </c>
      <c r="E13" s="9"/>
      <c r="F13" s="12">
        <f>F11*D10</f>
        <v>4950000</v>
      </c>
    </row>
    <row r="14" spans="1:13" ht="19" thickTop="1" thickBot="1" x14ac:dyDescent="0.4">
      <c r="A14" s="9"/>
      <c r="B14" s="36" t="s">
        <v>4</v>
      </c>
      <c r="C14" s="37"/>
      <c r="D14" s="3" t="str">
        <f>IF(D8="", "", D8-D13)</f>
        <v/>
      </c>
      <c r="E14" s="9"/>
      <c r="F14" s="12">
        <f>D9</f>
        <v>50000</v>
      </c>
    </row>
    <row r="15" spans="1:13" ht="19" thickTop="1" thickBot="1" x14ac:dyDescent="0.4">
      <c r="A15" s="9"/>
      <c r="B15" s="36" t="s">
        <v>6</v>
      </c>
      <c r="C15" s="37"/>
      <c r="D15" s="3" t="str">
        <f>IF(D8="", "", D9-D14)</f>
        <v/>
      </c>
      <c r="E15" s="9"/>
      <c r="F15" s="1">
        <v>0</v>
      </c>
    </row>
    <row r="16" spans="1:13" ht="19" thickTop="1" thickBot="1" x14ac:dyDescent="0.4">
      <c r="A16" s="9"/>
      <c r="B16" s="5"/>
      <c r="C16" s="5"/>
      <c r="D16" s="5"/>
      <c r="E16" s="9"/>
    </row>
    <row r="17" spans="1:6" ht="26" thickTop="1" thickBot="1" x14ac:dyDescent="0.4">
      <c r="A17" s="9"/>
      <c r="B17" s="38" t="s">
        <v>16</v>
      </c>
      <c r="C17" s="38"/>
      <c r="D17" s="38"/>
      <c r="E17" s="9"/>
    </row>
    <row r="18" spans="1:6" ht="19" customHeight="1" thickTop="1" thickBot="1" x14ac:dyDescent="0.4">
      <c r="A18" s="9"/>
      <c r="B18" s="31" t="s">
        <v>11</v>
      </c>
      <c r="C18" s="31"/>
      <c r="D18" s="10">
        <v>450000</v>
      </c>
      <c r="E18" s="9"/>
    </row>
    <row r="19" spans="1:6" ht="19" customHeight="1" thickTop="1" thickBot="1" x14ac:dyDescent="0.4">
      <c r="A19" s="9"/>
      <c r="B19" s="31" t="s">
        <v>14</v>
      </c>
      <c r="C19" s="31"/>
      <c r="D19" s="10">
        <v>50000</v>
      </c>
      <c r="E19" s="9"/>
    </row>
    <row r="20" spans="1:6" ht="19" customHeight="1" thickTop="1" thickBot="1" x14ac:dyDescent="0.4">
      <c r="A20" s="9"/>
      <c r="B20" s="31" t="s">
        <v>0</v>
      </c>
      <c r="C20" s="31"/>
      <c r="D20" s="4"/>
      <c r="E20" s="9"/>
      <c r="F20" s="12">
        <f>D18+D19</f>
        <v>500000</v>
      </c>
    </row>
    <row r="21" spans="1:6" ht="19" customHeight="1" thickTop="1" thickBot="1" x14ac:dyDescent="0.4">
      <c r="A21" s="9"/>
      <c r="B21" s="31" t="s">
        <v>1</v>
      </c>
      <c r="C21" s="31"/>
      <c r="D21" s="10">
        <v>50000</v>
      </c>
      <c r="E21" s="9"/>
    </row>
    <row r="22" spans="1:6" ht="19" customHeight="1" thickTop="1" thickBot="1" x14ac:dyDescent="0.4">
      <c r="A22" s="9"/>
      <c r="B22" s="31" t="s">
        <v>2</v>
      </c>
      <c r="C22" s="31"/>
      <c r="D22" s="11">
        <v>10</v>
      </c>
      <c r="E22" s="9"/>
    </row>
    <row r="23" spans="1:6" ht="19" customHeight="1" thickTop="1" thickBot="1" x14ac:dyDescent="0.4">
      <c r="A23" s="9"/>
      <c r="B23" s="29" t="s">
        <v>10</v>
      </c>
      <c r="C23" s="29"/>
      <c r="D23" s="6" t="str">
        <f>IF(D20="","",1-(D21/D20)^(1/D22))</f>
        <v/>
      </c>
      <c r="E23" s="9"/>
      <c r="F23" s="1">
        <f xml:space="preserve"> (1 - (D9/D6)^(1/D10)) * 100</f>
        <v>19.72584382397693</v>
      </c>
    </row>
    <row r="24" spans="1:6" ht="23.5" thickTop="1" thickBot="1" x14ac:dyDescent="0.4">
      <c r="A24" s="9"/>
      <c r="B24" s="30" t="s">
        <v>15</v>
      </c>
      <c r="C24" s="30"/>
      <c r="D24" s="30"/>
      <c r="E24" s="9"/>
    </row>
    <row r="25" spans="1:6" ht="19" thickTop="1" thickBot="1" x14ac:dyDescent="0.4">
      <c r="A25" s="9"/>
      <c r="B25" s="7" t="s">
        <v>7</v>
      </c>
      <c r="C25" s="7" t="s">
        <v>18</v>
      </c>
      <c r="D25" s="7" t="s">
        <v>3</v>
      </c>
      <c r="E25" s="9"/>
    </row>
    <row r="26" spans="1:6" ht="19" thickTop="1" thickBot="1" x14ac:dyDescent="0.4">
      <c r="A26" s="9"/>
      <c r="B26" s="2">
        <v>1</v>
      </c>
      <c r="C26" s="8" t="str">
        <f>IFERROR(IF(D26&gt;$D$21, (D26*$D$23), ""),"")</f>
        <v/>
      </c>
      <c r="D26" s="8"/>
      <c r="E26" s="9"/>
    </row>
    <row r="27" spans="1:6" ht="19" thickTop="1" thickBot="1" x14ac:dyDescent="0.4">
      <c r="A27" s="9"/>
      <c r="B27" s="2">
        <v>2</v>
      </c>
      <c r="C27" s="8" t="str">
        <f t="shared" ref="C27:C45" si="0">IFERROR(IF(D27&gt;$D$21, (D27*$D$23), ""),"")</f>
        <v/>
      </c>
      <c r="D27" s="8" t="str">
        <f t="shared" ref="D27:D45" si="1">IFERROR(D26-C26, "")</f>
        <v/>
      </c>
      <c r="E27" s="9"/>
    </row>
    <row r="28" spans="1:6" ht="19" thickTop="1" thickBot="1" x14ac:dyDescent="0.4">
      <c r="A28" s="9"/>
      <c r="B28" s="2">
        <v>3</v>
      </c>
      <c r="C28" s="8" t="str">
        <f t="shared" si="0"/>
        <v/>
      </c>
      <c r="D28" s="8" t="str">
        <f t="shared" si="1"/>
        <v/>
      </c>
      <c r="E28" s="9"/>
    </row>
    <row r="29" spans="1:6" ht="19" thickTop="1" thickBot="1" x14ac:dyDescent="0.4">
      <c r="A29" s="9"/>
      <c r="B29" s="2"/>
      <c r="C29" s="8" t="str">
        <f t="shared" si="0"/>
        <v/>
      </c>
      <c r="D29" s="8" t="str">
        <f t="shared" si="1"/>
        <v/>
      </c>
      <c r="E29" s="9"/>
    </row>
    <row r="30" spans="1:6" ht="19" thickTop="1" thickBot="1" x14ac:dyDescent="0.4">
      <c r="A30" s="9"/>
      <c r="B30" s="2"/>
      <c r="C30" s="8" t="str">
        <f t="shared" si="0"/>
        <v/>
      </c>
      <c r="D30" s="8" t="str">
        <f t="shared" si="1"/>
        <v/>
      </c>
      <c r="E30" s="9"/>
    </row>
    <row r="31" spans="1:6" ht="19" thickTop="1" thickBot="1" x14ac:dyDescent="0.4">
      <c r="A31" s="9"/>
      <c r="B31" s="2"/>
      <c r="C31" s="8" t="str">
        <f t="shared" si="0"/>
        <v/>
      </c>
      <c r="D31" s="8" t="str">
        <f t="shared" si="1"/>
        <v/>
      </c>
      <c r="E31" s="9"/>
    </row>
    <row r="32" spans="1:6" ht="19" thickTop="1" thickBot="1" x14ac:dyDescent="0.4">
      <c r="A32" s="9"/>
      <c r="B32" s="2"/>
      <c r="C32" s="8" t="str">
        <f t="shared" si="0"/>
        <v/>
      </c>
      <c r="D32" s="8" t="str">
        <f t="shared" si="1"/>
        <v/>
      </c>
      <c r="E32" s="9"/>
    </row>
    <row r="33" spans="1:5" ht="19" thickTop="1" thickBot="1" x14ac:dyDescent="0.4">
      <c r="A33" s="9"/>
      <c r="B33" s="2"/>
      <c r="C33" s="8" t="str">
        <f t="shared" si="0"/>
        <v/>
      </c>
      <c r="D33" s="8" t="str">
        <f t="shared" si="1"/>
        <v/>
      </c>
      <c r="E33" s="9"/>
    </row>
    <row r="34" spans="1:5" ht="19" thickTop="1" thickBot="1" x14ac:dyDescent="0.4">
      <c r="A34" s="9"/>
      <c r="B34" s="2"/>
      <c r="C34" s="8" t="str">
        <f t="shared" si="0"/>
        <v/>
      </c>
      <c r="D34" s="8" t="str">
        <f t="shared" si="1"/>
        <v/>
      </c>
      <c r="E34" s="9"/>
    </row>
    <row r="35" spans="1:5" ht="19" thickTop="1" thickBot="1" x14ac:dyDescent="0.4">
      <c r="A35" s="9"/>
      <c r="B35" s="2"/>
      <c r="C35" s="8" t="str">
        <f t="shared" si="0"/>
        <v/>
      </c>
      <c r="D35" s="8" t="str">
        <f t="shared" si="1"/>
        <v/>
      </c>
      <c r="E35" s="9"/>
    </row>
    <row r="36" spans="1:5" ht="19" thickTop="1" thickBot="1" x14ac:dyDescent="0.4">
      <c r="A36" s="9"/>
      <c r="B36" s="2"/>
      <c r="C36" s="8" t="str">
        <f t="shared" si="0"/>
        <v/>
      </c>
      <c r="D36" s="8" t="str">
        <f t="shared" si="1"/>
        <v/>
      </c>
      <c r="E36" s="9"/>
    </row>
    <row r="37" spans="1:5" ht="19" thickTop="1" thickBot="1" x14ac:dyDescent="0.4">
      <c r="A37" s="9"/>
      <c r="B37" s="2"/>
      <c r="C37" s="8" t="str">
        <f t="shared" si="0"/>
        <v/>
      </c>
      <c r="D37" s="8" t="str">
        <f t="shared" si="1"/>
        <v/>
      </c>
      <c r="E37" s="9"/>
    </row>
    <row r="38" spans="1:5" ht="19" thickTop="1" thickBot="1" x14ac:dyDescent="0.4">
      <c r="A38" s="9"/>
      <c r="B38" s="2"/>
      <c r="C38" s="8" t="str">
        <f t="shared" si="0"/>
        <v/>
      </c>
      <c r="D38" s="8" t="str">
        <f t="shared" si="1"/>
        <v/>
      </c>
      <c r="E38" s="9"/>
    </row>
    <row r="39" spans="1:5" ht="19" thickTop="1" thickBot="1" x14ac:dyDescent="0.4">
      <c r="A39" s="9"/>
      <c r="B39" s="2"/>
      <c r="C39" s="8" t="str">
        <f t="shared" si="0"/>
        <v/>
      </c>
      <c r="D39" s="8" t="str">
        <f t="shared" si="1"/>
        <v/>
      </c>
      <c r="E39" s="9"/>
    </row>
    <row r="40" spans="1:5" ht="19" thickTop="1" thickBot="1" x14ac:dyDescent="0.4">
      <c r="A40" s="9"/>
      <c r="B40" s="2"/>
      <c r="C40" s="8" t="str">
        <f t="shared" si="0"/>
        <v/>
      </c>
      <c r="D40" s="8" t="str">
        <f t="shared" si="1"/>
        <v/>
      </c>
      <c r="E40" s="9"/>
    </row>
    <row r="41" spans="1:5" ht="19" thickTop="1" thickBot="1" x14ac:dyDescent="0.4">
      <c r="A41" s="9"/>
      <c r="B41" s="2"/>
      <c r="C41" s="8" t="str">
        <f t="shared" si="0"/>
        <v/>
      </c>
      <c r="D41" s="8" t="str">
        <f t="shared" si="1"/>
        <v/>
      </c>
      <c r="E41" s="9"/>
    </row>
    <row r="42" spans="1:5" ht="19" thickTop="1" thickBot="1" x14ac:dyDescent="0.4">
      <c r="A42" s="9"/>
      <c r="B42" s="2"/>
      <c r="C42" s="8" t="str">
        <f t="shared" si="0"/>
        <v/>
      </c>
      <c r="D42" s="8" t="str">
        <f t="shared" si="1"/>
        <v/>
      </c>
      <c r="E42" s="9"/>
    </row>
    <row r="43" spans="1:5" ht="19" thickTop="1" thickBot="1" x14ac:dyDescent="0.4">
      <c r="A43" s="9"/>
      <c r="B43" s="2"/>
      <c r="C43" s="8" t="str">
        <f t="shared" si="0"/>
        <v/>
      </c>
      <c r="D43" s="8" t="str">
        <f t="shared" si="1"/>
        <v/>
      </c>
      <c r="E43" s="9"/>
    </row>
    <row r="44" spans="1:5" ht="19" thickTop="1" thickBot="1" x14ac:dyDescent="0.4">
      <c r="A44" s="9"/>
      <c r="B44" s="2"/>
      <c r="C44" s="8" t="str">
        <f t="shared" si="0"/>
        <v/>
      </c>
      <c r="D44" s="8" t="str">
        <f t="shared" si="1"/>
        <v/>
      </c>
      <c r="E44" s="9"/>
    </row>
    <row r="45" spans="1:5" ht="19" thickTop="1" thickBot="1" x14ac:dyDescent="0.4">
      <c r="A45" s="9"/>
      <c r="B45" s="2"/>
      <c r="C45" s="8" t="str">
        <f t="shared" si="0"/>
        <v/>
      </c>
      <c r="D45" s="8" t="str">
        <f t="shared" si="1"/>
        <v/>
      </c>
      <c r="E45" s="9"/>
    </row>
    <row r="46" spans="1:5" ht="18.5" thickTop="1" x14ac:dyDescent="0.35">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Detail1</vt:lpstr>
      <vt:lpstr>Sheet1</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Shavin Mathur</cp:lastModifiedBy>
  <cp:lastPrinted>2019-12-30T11:34:18Z</cp:lastPrinted>
  <dcterms:created xsi:type="dcterms:W3CDTF">2019-12-30T10:28:43Z</dcterms:created>
  <dcterms:modified xsi:type="dcterms:W3CDTF">2025-12-22T12:18:39Z</dcterms:modified>
</cp:coreProperties>
</file>